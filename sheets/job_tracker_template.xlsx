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 Guide" sheetId="3" state="visible" r:id="rId3"/>
  </sheets>
  <definedNames>
    <definedName name="_xlnm._FilterDatabase" localSheetId="0" hidden="1">'Job Tracker'!$A$1:$R$1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6"/>
    </font>
    <font>
      <b val="1"/>
      <sz val="11"/>
    </font>
    <font>
      <b val="1"/>
      <color rgb="002F5496"/>
      <sz val="14"/>
    </font>
    <font/>
    <font>
      <b val="1"/>
      <color rgb="002F5496"/>
      <sz val="13"/>
    </font>
    <font>
      <sz val="10"/>
    </font>
    <font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8" customWidth="1" min="4" max="4"/>
    <col width="14" customWidth="1" min="5" max="5"/>
    <col width="35" customWidth="1" min="6" max="6"/>
    <col width="8" customWidth="1" min="7" max="7"/>
    <col width="10" customWidth="1" min="8" max="8"/>
    <col width="40" customWidth="1" min="9" max="9"/>
    <col width="35" customWidth="1" min="10" max="10"/>
    <col width="30" customWidth="1" min="11" max="11"/>
    <col width="12" customWidth="1" min="12" max="12"/>
    <col width="35" customWidth="1" min="13" max="13"/>
    <col width="30" customWidth="1" min="14" max="14"/>
    <col width="30" customWidth="1" min="15" max="15"/>
    <col width="15" customWidth="1" min="16" max="16"/>
    <col width="18" customWidth="1" min="17" max="17"/>
    <col width="30" customWidth="1" min="18" max="18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Apply URL</t>
        </is>
      </c>
      <c r="G1" s="1" t="inlineStr">
        <is>
          <t>Score</t>
        </is>
      </c>
      <c r="H1" s="1" t="inlineStr">
        <is>
          <t>Verdict</t>
        </is>
      </c>
      <c r="I1" s="1" t="inlineStr">
        <is>
          <t>Rationale</t>
        </is>
      </c>
      <c r="J1" s="1" t="inlineStr">
        <is>
          <t>Key Requirements</t>
        </is>
      </c>
      <c r="K1" s="1" t="inlineStr">
        <is>
          <t>Gaps</t>
        </is>
      </c>
      <c r="L1" s="1" t="inlineStr">
        <is>
          <t>Status</t>
        </is>
      </c>
      <c r="M1" s="1" t="inlineStr">
        <is>
          <t>Resume PDF</t>
        </is>
      </c>
      <c r="N1" s="1" t="inlineStr">
        <is>
          <t>Highlighted Skills</t>
        </is>
      </c>
      <c r="O1" s="1" t="inlineStr">
        <is>
          <t>ATS Keywords</t>
        </is>
      </c>
      <c r="P1" s="1" t="inlineStr">
        <is>
          <t>Salary Range</t>
        </is>
      </c>
      <c r="Q1" s="1" t="inlineStr">
        <is>
          <t>Hiring Manager</t>
        </is>
      </c>
      <c r="R1" s="1" t="inlineStr">
        <is>
          <t>Notes</t>
        </is>
      </c>
    </row>
  </sheetData>
  <autoFilter ref="A1:R1"/>
  <conditionalFormatting sqref="H2:H1000">
    <cfRule type="cellIs" priority="1" operator="equal" dxfId="0">
      <formula>"ACCEPT"</formula>
    </cfRule>
    <cfRule type="cellIs" priority="2" operator="equal" dxfId="1">
      <formula>"STRETCH"</formula>
    </cfRule>
    <cfRule type="cellIs" priority="3" operator="equal" dxfId="2">
      <formula>"REJECT"</formula>
    </cfRule>
  </conditionalFormatting>
  <dataValidations count="2">
    <dataValidation sqref="L2:L1000" showDropDown="0" showInputMessage="0" showErrorMessage="0" allowBlank="1" errorTitle="Invalid Status" error="Please select a valid status" type="list">
      <formula1>"New,Reviewing,Applied,Interview,Offer,Rejected,Withdrawn"</formula1>
    </dataValidation>
    <dataValidation sqref="H2:H1000" showDropDown="0" showInputMessage="0" showErrorMessage="0" allowBlank="1" type="list">
      <formula1>"ACCEPT,STRETCH,REJECT"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2" t="inlineStr">
        <is>
          <t>Job Search Dashboard</t>
        </is>
      </c>
    </row>
    <row r="3">
      <c r="A3" s="3" t="inlineStr">
        <is>
          <t>Total Jobs Found</t>
        </is>
      </c>
      <c r="B3" s="4">
        <f>COUNTA('Job Tracker'!B:B)-1</f>
        <v/>
      </c>
    </row>
    <row r="4">
      <c r="A4" s="3" t="inlineStr">
        <is>
          <t>ACCEPT Count</t>
        </is>
      </c>
      <c r="B4" s="4">
        <f>COUNTIF('Job Tracker'!H:H,"ACCEPT")</f>
        <v/>
      </c>
    </row>
    <row r="5">
      <c r="A5" s="3" t="inlineStr">
        <is>
          <t>STRETCH Count</t>
        </is>
      </c>
      <c r="B5" s="4">
        <f>COUNTIF('Job Tracker'!H:H,"STRETCH")</f>
        <v/>
      </c>
    </row>
    <row r="6">
      <c r="A6" s="3" t="inlineStr">
        <is>
          <t>REJECT Count</t>
        </is>
      </c>
      <c r="B6" s="4">
        <f>COUNTIF('Job Tracker'!H:H,"REJECT")</f>
        <v/>
      </c>
    </row>
    <row r="7">
      <c r="A7" s="3" t="inlineStr">
        <is>
          <t>Applied Count</t>
        </is>
      </c>
      <c r="B7" s="4">
        <f>COUNTIF('Job Tracker'!L:L,"Applied")</f>
        <v/>
      </c>
    </row>
    <row r="8">
      <c r="A8" s="3" t="inlineStr">
        <is>
          <t>Interview Count</t>
        </is>
      </c>
      <c r="B8" s="4">
        <f>COUNTIF('Job Tracker'!L:L,"Interview")</f>
        <v/>
      </c>
    </row>
    <row r="9">
      <c r="A9" s="3" t="inlineStr">
        <is>
          <t>Average Score</t>
        </is>
      </c>
      <c r="B9" s="4">
        <f>IFERROR(AVERAGE('Job Tracker'!G:G),0)</f>
        <v/>
      </c>
    </row>
    <row r="10">
      <c r="A10" s="5" t="inlineStr"/>
    </row>
    <row r="11">
      <c r="A11" s="6" t="inlineStr">
        <is>
          <t>Jobs by Source</t>
        </is>
      </c>
    </row>
    <row r="12">
      <c r="A12" s="3" t="inlineStr">
        <is>
          <t>Adzuna</t>
        </is>
      </c>
      <c r="B12" s="4">
        <f>COUNTIF('Job Tracker'!E:E,"Adzuna")</f>
        <v/>
      </c>
    </row>
    <row r="13">
      <c r="A13" s="3" t="inlineStr">
        <is>
          <t>Google Jobs</t>
        </is>
      </c>
      <c r="B13" s="4">
        <f>COUNTIF('Job Tracker'!E:E,"Google Jobs")</f>
        <v/>
      </c>
    </row>
    <row r="14">
      <c r="A14" s="3" t="inlineStr">
        <is>
          <t>WTTJ</t>
        </is>
      </c>
      <c r="B14" s="4">
        <f>COUNTIF('Job Tracker'!E:E,"WTTJ")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Job Search Automation - Setup Guide</t>
        </is>
      </c>
    </row>
    <row r="2">
      <c r="A2" s="7" t="inlineStr"/>
    </row>
    <row r="3">
      <c r="A3" s="8" t="inlineStr">
        <is>
          <t>REQUIRED ENVIRONMENT VARIABLES</t>
        </is>
      </c>
    </row>
    <row r="4">
      <c r="A4" s="7" t="inlineStr">
        <is>
          <t xml:space="preserve">  GEMINI_API_KEY      - Get from https://aistudio.google.com</t>
        </is>
      </c>
    </row>
    <row r="5">
      <c r="A5" s="7" t="inlineStr">
        <is>
          <t xml:space="preserve">  GROQ_API_KEY        - Get from https://console.groq.com (fallback)</t>
        </is>
      </c>
    </row>
    <row r="6">
      <c r="A6" s="7" t="inlineStr">
        <is>
          <t xml:space="preserve">  SERPAPI_KEY          - Get from https://serpapi.com</t>
        </is>
      </c>
    </row>
    <row r="7">
      <c r="A7" s="7" t="inlineStr">
        <is>
          <t xml:space="preserve">  GOOGLE_SHEET_ID     - ID of this Google Sheet (from the URL)</t>
        </is>
      </c>
    </row>
    <row r="8">
      <c r="A8" s="7" t="inlineStr">
        <is>
          <t xml:space="preserve">  GDRIVE_FOLDER_ID    - ID of the Google Drive folder for PDFs</t>
        </is>
      </c>
    </row>
    <row r="9">
      <c r="A9" s="7" t="inlineStr">
        <is>
          <t xml:space="preserve">  NOTIFICATION_EMAIL   - Your email for high-score alerts</t>
        </is>
      </c>
    </row>
    <row r="10">
      <c r="A10" s="7" t="inlineStr"/>
    </row>
    <row r="11">
      <c r="A11" s="8" t="inlineStr">
        <is>
          <t>GOOGLE CLOUD SETUP</t>
        </is>
      </c>
    </row>
    <row r="12">
      <c r="A12" s="7" t="inlineStr">
        <is>
          <t xml:space="preserve">  1. Go to https://console.cloud.google.com</t>
        </is>
      </c>
    </row>
    <row r="13">
      <c r="A13" s="7" t="inlineStr">
        <is>
          <t xml:space="preserve">  2. Create a new project</t>
        </is>
      </c>
    </row>
    <row r="14">
      <c r="A14" s="7" t="inlineStr">
        <is>
          <t xml:space="preserve">  3. Enable: Google Sheets API, Google Drive API, Gmail API</t>
        </is>
      </c>
    </row>
    <row r="15">
      <c r="A15" s="7" t="inlineStr">
        <is>
          <t xml:space="preserve">  4. Create OAuth2 credentials (Desktop app type)</t>
        </is>
      </c>
    </row>
    <row r="16">
      <c r="A16" s="7" t="inlineStr">
        <is>
          <t xml:space="preserve">  5. Download credentials JSON</t>
        </is>
      </c>
    </row>
    <row r="17">
      <c r="A17" s="7" t="inlineStr">
        <is>
          <t xml:space="preserve">  6. In n8n: Settings &gt; Credentials &gt; Google Sheets OAuth2</t>
        </is>
      </c>
    </row>
    <row r="18">
      <c r="A18" s="7" t="inlineStr">
        <is>
          <t xml:space="preserve">  7. Paste Client ID and Client Secret, then authorize</t>
        </is>
      </c>
    </row>
    <row r="19">
      <c r="A19" s="7" t="inlineStr"/>
    </row>
    <row r="20">
      <c r="A20" s="8" t="inlineStr">
        <is>
          <t>ADZUNA API SETUP</t>
        </is>
      </c>
    </row>
    <row r="21">
      <c r="A21" s="7" t="inlineStr">
        <is>
          <t xml:space="preserve">  1. Register at https://developer.adzuna.com</t>
        </is>
      </c>
    </row>
    <row r="22">
      <c r="A22" s="7" t="inlineStr">
        <is>
          <t xml:space="preserve">  2. Create an app to get App ID and App Key</t>
        </is>
      </c>
    </row>
    <row r="23">
      <c r="A23" s="7" t="inlineStr">
        <is>
          <t xml:space="preserve">  3. In n8n: Settings &gt; Credentials &gt; HTTP Query Auth</t>
        </is>
      </c>
    </row>
    <row r="24">
      <c r="A24" s="7" t="inlineStr">
        <is>
          <t xml:space="preserve">  4. Set name=app_id value=&lt;your_app_id&gt;, name=app_key value=&lt;your_key&gt;</t>
        </is>
      </c>
    </row>
    <row r="25">
      <c r="A25" s="7" t="inlineStr"/>
    </row>
    <row r="26">
      <c r="A26" s="8" t="inlineStr">
        <is>
          <t>HOW THE PIPELINE WORKS</t>
        </is>
      </c>
    </row>
    <row r="27">
      <c r="A27" s="7" t="inlineStr">
        <is>
          <t xml:space="preserve">  1. Every 6 hours, the workflow triggers automatically</t>
        </is>
      </c>
    </row>
    <row r="28">
      <c r="A28" s="7" t="inlineStr">
        <is>
          <t xml:space="preserve">  2. It fetches jobs from Adzuna, Google Jobs (SerpAPI), and WTTJ</t>
        </is>
      </c>
    </row>
    <row r="29">
      <c r="A29" s="7" t="inlineStr">
        <is>
          <t xml:space="preserve">  3. Jobs are normalized to a common format and deduplicated</t>
        </is>
      </c>
    </row>
    <row r="30">
      <c r="A30" s="7" t="inlineStr">
        <is>
          <t xml:space="preserve">  4. Already-processed jobs (in this sheet) are skipped</t>
        </is>
      </c>
    </row>
    <row r="31">
      <c r="A31" s="7" t="inlineStr">
        <is>
          <t xml:space="preserve">  5. Each new job is scored by Gemini 2.5 Flash (relevance 1-10)</t>
        </is>
      </c>
    </row>
    <row r="32">
      <c r="A32" s="7" t="inlineStr">
        <is>
          <t xml:space="preserve">  6. REJECT jobs (score &lt; 4) are dropped</t>
        </is>
      </c>
    </row>
    <row r="33">
      <c r="A33" s="7" t="inlineStr">
        <is>
          <t xml:space="preserve">  7. ACCEPT/STRETCH jobs get a tailored resume generated</t>
        </is>
      </c>
    </row>
    <row r="34">
      <c r="A34" s="7" t="inlineStr">
        <is>
          <t xml:space="preserve">  8. The PDF is uploaded to Google Drive</t>
        </is>
      </c>
    </row>
    <row r="35">
      <c r="A35" s="7" t="inlineStr">
        <is>
          <t xml:space="preserve">  9. A row is added to the Job Tracker sheet</t>
        </is>
      </c>
    </row>
    <row r="36">
      <c r="A36" s="7" t="inlineStr">
        <is>
          <t xml:space="preserve">  10. Jobs scoring 7+ trigger an email alert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2026-03-28T14:39:01Z</dcterms:created>
  <dcterms:modified xmlns:dcterms="http://purl.org/dc/terms/" xmlns:xsi="http://www.w3.org/2001/XMLSchema-instance" xsi:type="dcterms:W3CDTF">2026-03-28T14:39:01Z</dcterms:modified>
</cp:coreProperties>
</file>